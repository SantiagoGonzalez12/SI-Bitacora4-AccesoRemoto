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_Cloud_Proyecto" sheetId="1" r:id="rId5"/>
  </sheets>
  <definedNames/>
  <calcPr/>
</workbook>
</file>

<file path=xl/sharedStrings.xml><?xml version="1.0" encoding="utf-8"?>
<sst xmlns="http://schemas.openxmlformats.org/spreadsheetml/2006/main" count="14" uniqueCount="14">
  <si>
    <t>Concepto</t>
  </si>
  <si>
    <t>Detalle</t>
  </si>
  <si>
    <t>Cantidad</t>
  </si>
  <si>
    <t>Precio Unitario</t>
  </si>
  <si>
    <t>Subtotal</t>
  </si>
  <si>
    <t>Cómputo</t>
  </si>
  <si>
    <t>Instancia AWS EC2 t3.medium (Linux)</t>
  </si>
  <si>
    <t>Almacenamiento</t>
  </si>
  <si>
    <t>Amazon EBS - gp3 General Purpose SSD (GB)</t>
  </si>
  <si>
    <t>Transferencia de Red</t>
  </si>
  <si>
    <t>Tráfico de red saliente (GB)</t>
  </si>
  <si>
    <t>SUBTOTAL NETO</t>
  </si>
  <si>
    <t>IVA (21%)</t>
  </si>
  <si>
    <t>TOTAL MENSUAL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</si>
</sst>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121A9B"/>
          <bgColor rgb="FF121A9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4C6E6"/>
          <bgColor rgb="FFC4C6E6"/>
        </patternFill>
      </fill>
      <border/>
    </dxf>
    <dxf>
      <border>
        <left style="thin">
          <color rgb="FF121A9B"/>
        </left>
        <right style="thin">
          <color rgb="FF121A9B"/>
        </right>
        <top style="thin">
          <color rgb="FF121A9B"/>
        </top>
        <bottom style="thin">
          <color rgb="FF121A9B"/>
        </bottom>
      </border>
    </dxf>
  </dxfs>
  <tableStyles count="1">
    <tableStyle count="5" pivot="0" name="Presupuesto_Cloud_Proyecto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E8" displayName="Coste_Mensual_Alojar_App" name="Coste_Mensual_Alojar_App" id="1">
  <tableColumns count="5">
    <tableColumn totalsRowLabel="TOTAL MENSUAL" name="Concepto" id="1"/>
    <tableColumn name="Detalle" id="2"/>
    <tableColumn name="Cantidad" id="3"/>
    <tableColumn name="Precio Unitario" id="4"/>
    <tableColumn totalsRowFunction="custom" name="Subtotal" id="5"/>
  </tableColumns>
  <tableStyleInfo name="Presupuesto_Cloud_Proyec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oudburn.io/tools/amazon-ec2-pricing-calculator?region=eu-south-2&amp;selectedInstanceType=t3.medium&amp;dataTransferGb=200" TargetMode="External"/><Relationship Id="rId2" Type="http://schemas.openxmlformats.org/officeDocument/2006/relationships/hyperlink" Target="https://cloudburn.io/tools/amazon-ebs-pricing-calculator?region=eu-south-2&amp;storageGB=1024" TargetMode="External"/><Relationship Id="rId3" Type="http://schemas.openxmlformats.org/officeDocument/2006/relationships/hyperlink" Target="https://cloudburn.io/tools/amazon-ec2-pricing-calculator?region=eu-south-2&amp;selectedInstanceType=t3.medium&amp;dataTransferGb=200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34.5"/>
    <col customWidth="1" min="4" max="4" width="22.13"/>
    <col customWidth="1" min="5" max="5" width="17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2">
        <v>1.0</v>
      </c>
      <c r="D2" s="4">
        <v>35.0</v>
      </c>
      <c r="E2" s="5">
        <f t="shared" ref="E2:E4" si="1">C2*D2</f>
        <v>35</v>
      </c>
    </row>
    <row r="3" ht="22.5" customHeight="1">
      <c r="A3" s="2" t="s">
        <v>7</v>
      </c>
      <c r="B3" s="3" t="s">
        <v>8</v>
      </c>
      <c r="C3" s="2">
        <v>1024.0</v>
      </c>
      <c r="D3" s="4">
        <v>0.078</v>
      </c>
      <c r="E3" s="5">
        <f t="shared" si="1"/>
        <v>79.872</v>
      </c>
    </row>
    <row r="4" ht="22.5" customHeight="1">
      <c r="A4" s="2" t="s">
        <v>9</v>
      </c>
      <c r="B4" s="3" t="s">
        <v>10</v>
      </c>
      <c r="C4" s="2">
        <v>100.0</v>
      </c>
      <c r="D4" s="4">
        <v>0.775</v>
      </c>
      <c r="E4" s="5">
        <f t="shared" si="1"/>
        <v>77.5</v>
      </c>
    </row>
    <row r="5" ht="22.5" customHeight="1">
      <c r="A5" s="2"/>
      <c r="B5" s="2"/>
      <c r="C5" s="2"/>
      <c r="D5" s="4"/>
      <c r="E5" s="5"/>
    </row>
    <row r="6" ht="22.5" customHeight="1">
      <c r="A6" s="6" t="s">
        <v>11</v>
      </c>
      <c r="B6" s="6"/>
      <c r="C6" s="6"/>
      <c r="D6" s="7"/>
      <c r="E6" s="5">
        <f>SUM(E2:E4)</f>
        <v>192.372</v>
      </c>
    </row>
    <row r="7" ht="22.5" customHeight="1">
      <c r="A7" s="2" t="s">
        <v>12</v>
      </c>
      <c r="B7" s="6"/>
      <c r="C7" s="6"/>
      <c r="D7" s="7"/>
      <c r="E7" s="5">
        <f>E6*0.21</f>
        <v>40.39812</v>
      </c>
    </row>
    <row r="8" ht="22.5" customHeight="1">
      <c r="A8" s="2" t="s">
        <v>13</v>
      </c>
      <c r="B8" s="8"/>
      <c r="C8" s="8"/>
      <c r="E8" s="5">
        <f>SUM(E6:E7)</f>
        <v>232.77012</v>
      </c>
    </row>
  </sheetData>
  <dataValidations>
    <dataValidation type="custom" allowBlank="1" showDropDown="1" sqref="D2:E7">
      <formula1>AND(ISNUMBER(D2),(NOT(OR(NOT(ISERROR(DATEVALUE(D2))), AND(ISNUMBER(D2), LEFT(CELL("format", D2))="D")))))</formula1>
    </dataValidation>
  </dataValidations>
  <hyperlinks>
    <hyperlink r:id="rId1" ref="B2"/>
    <hyperlink r:id="rId2" ref="B3"/>
    <hyperlink r:id="rId3" ref="B4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4"/>
  <tableParts count="1">
    <tablePart r:id="rId6"/>
  </tableParts>
</worksheet>
</file>